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는법" sheetId="1" state="visible" r:id="rId1"/>
    <sheet xmlns:r="http://schemas.openxmlformats.org/officeDocument/2006/relationships" name="01_입력값" sheetId="2" state="visible" r:id="rId2"/>
    <sheet xmlns:r="http://schemas.openxmlformats.org/officeDocument/2006/relationships" name="02_행동단가" sheetId="3" state="visible" r:id="rId3"/>
    <sheet xmlns:r="http://schemas.openxmlformats.org/officeDocument/2006/relationships" name="03_사용자시나리오" sheetId="4" state="visible" r:id="rId4"/>
    <sheet xmlns:r="http://schemas.openxmlformats.org/officeDocument/2006/relationships" name="04_전달메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&quot;원&quot;"/>
    <numFmt numFmtId="166" formatCode="0.00&quot;원&quot;"/>
  </numFmts>
  <fonts count="8">
    <font>
      <name val="Calibri"/>
      <family val="2"/>
      <color theme="1"/>
      <sz val="11"/>
      <scheme val="minor"/>
    </font>
    <font>
      <name val="Calibri"/>
      <b val="1"/>
      <color rgb="00191F28"/>
      <sz val="16"/>
    </font>
    <font>
      <name val="Calibri"/>
      <i val="1"/>
      <color rgb="004E5968"/>
      <sz val="9"/>
    </font>
    <font>
      <name val="Calibri"/>
      <b val="1"/>
      <color rgb="00191F28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sz val="12"/>
    </font>
    <font>
      <name val="Calibri"/>
      <color rgb="00008000"/>
    </font>
  </fonts>
  <fills count="4">
    <fill>
      <patternFill/>
    </fill>
    <fill>
      <patternFill patternType="gray125"/>
    </fill>
    <fill>
      <patternFill patternType="solid">
        <fgColor rgb="00F2F4F6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E5E8EB"/>
      </left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3" borderId="0" pivotButton="0" quotePrefix="0" xfId="0"/>
    <xf numFmtId="0" fontId="6" fillId="0" borderId="0" pivotButton="0" quotePrefix="0" xfId="0"/>
    <xf numFmtId="2" fontId="5" fillId="3" borderId="1" applyAlignment="1" pivotButton="0" quotePrefix="0" xfId="0">
      <alignment vertical="center" wrapText="1"/>
    </xf>
    <xf numFmtId="2" fontId="4" fillId="0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 wrapText="1"/>
    </xf>
    <xf numFmtId="164" fontId="5" fillId="3" borderId="0" pivotButton="0" quotePrefix="0" xfId="0"/>
    <xf numFmtId="165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88" customWidth="1" min="2" max="2"/>
  </cols>
  <sheetData>
    <row r="1">
      <c r="A1" s="1" t="inlineStr">
        <is>
          <t>NodeLab 요금제·원가·마진 (변희웅 전달용)</t>
        </is>
      </c>
    </row>
    <row r="2" ht="32" customHeight="1">
      <c r="A2" s="2" t="inlineStr">
        <is>
          <t>작성 2026-09-02 · 환율·단가·토큰 가정은 노란 칸만 바꾸면 아래 시트가 따라감. 파란 글씨 = 입력값, 검정 = 계산.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 ht="36" customHeight="1">
      <c r="A5" s="4" t="inlineStr">
        <is>
          <t>이 파일이 답하는 질문</t>
        </is>
      </c>
      <c r="B5" s="5" t="inlineStr">
        <is>
          <t>9900/29900을 팔 때, 손풀이·변형을 얼마나 해도 AI 원가가 구독료를 안 뚫는가.</t>
        </is>
      </c>
    </row>
    <row r="6" ht="36" customHeight="1">
      <c r="A6" s="4" t="inlineStr">
        <is>
          <t>모델</t>
        </is>
      </c>
      <c r="B6" s="5" t="inlineStr">
        <is>
          <t>Gemini 3.7 Flash = OCR/CAT/필요 시 블라인드 검산. Muse Spark 1.2 Contributor = 텍스트 출제·힌트. SymPy = 0원 계산.</t>
        </is>
      </c>
    </row>
    <row r="7" ht="36" customHeight="1">
      <c r="A7" s="4" t="inlineStr">
        <is>
          <t>Contributor란</t>
        </is>
      </c>
      <c r="B7" s="5" t="inlineStr">
        <is>
          <t>Spark와 성능·멀티모달 동일. 프롬프트/답을 Meta 학습에 제공할 수 있어서 가격만 쌈 ($0.10/$0.20). 손글씨·시험지 원본은 Contributor에 넣지 않음 → Gemini.</t>
        </is>
      </c>
    </row>
    <row r="8" ht="36" customHeight="1">
      <c r="A8" s="4" t="inlineStr">
        <is>
          <t>OpenCode 무료</t>
        </is>
      </c>
      <c r="B8" s="5" t="inlineStr">
        <is>
          <t>지금은 0원일 수 있음. 시뮬은 정가 Contributor로 봄. 공짜에 가격 맞추지 말 것.</t>
        </is>
      </c>
    </row>
    <row r="9" ht="36" customHeight="1">
      <c r="A9" s="4" t="inlineStr">
        <is>
          <t>장 vs 문항</t>
        </is>
      </c>
      <c r="B9" s="5" t="inlineStr">
        <is>
          <t>PDF 분할 = 장당. 손풀이 OCR·CAT·변형 = 문항/클릭당. 파일 하나로 퉁치지 말 것.</t>
        </is>
      </c>
    </row>
    <row r="10" ht="36" customHeight="1">
      <c r="A10" s="4" t="inlineStr">
        <is>
          <t>요금제 초안</t>
        </is>
      </c>
      <c r="B10" s="5" t="inlineStr">
        <is>
          <t>Free: 비회원 3 + 가입 후 하루 10. 9900: 월 학습 문항 200 전후 + 변형 소수. 29900: 응용·기출·모의 출제 무제한에 가깝게.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28" customWidth="1" min="2" max="2"/>
    <col width="18" customWidth="1" min="3" max="3"/>
    <col width="14" customWidth="1" min="4" max="4"/>
    <col width="14" customWidth="1" min="5" max="5"/>
    <col width="42" customWidth="1" min="6" max="6"/>
  </cols>
  <sheetData>
    <row r="1">
      <c r="A1" s="1" t="inlineStr">
        <is>
          <t>01 입력값 (노란 칸만 수정)</t>
        </is>
      </c>
    </row>
    <row r="3">
      <c r="A3" t="inlineStr">
        <is>
          <t>환율 KRW/USD</t>
        </is>
      </c>
      <c r="B3" s="6" t="n">
        <v>1400</v>
      </c>
      <c r="C3" t="inlineStr">
        <is>
          <t>희웅 엑셀 C4와 맞출 것</t>
        </is>
      </c>
    </row>
    <row r="5">
      <c r="A5" s="7" t="inlineStr">
        <is>
          <t>모델 정가 (USD / 1M tokens)</t>
        </is>
      </c>
    </row>
    <row r="6">
      <c r="A6" s="3" t="inlineStr">
        <is>
          <t>모델</t>
        </is>
      </c>
      <c r="B6" s="3" t="inlineStr">
        <is>
          <t>역할</t>
        </is>
      </c>
      <c r="C6" s="3" t="inlineStr">
        <is>
          <t>Input USD/1M</t>
        </is>
      </c>
      <c r="D6" s="3" t="inlineStr">
        <is>
          <t>Output USD/1M</t>
        </is>
      </c>
      <c r="E6" s="3" t="inlineStr">
        <is>
          <t>출처</t>
        </is>
      </c>
    </row>
    <row r="7">
      <c r="A7" s="5" t="inlineStr">
        <is>
          <t>Gemini 3.7 Flash</t>
        </is>
      </c>
      <c r="B7" s="5" t="inlineStr">
        <is>
          <t>OCR·CAT·블라인드 검산</t>
        </is>
      </c>
      <c r="C7" s="8" t="n">
        <v>0.75</v>
      </c>
      <c r="D7" s="8" t="n">
        <v>3.75</v>
      </c>
      <c r="E7" s="5" t="inlineStr">
        <is>
          <t>https://ai.google.dev/gemini-api/docs/pricing</t>
        </is>
      </c>
    </row>
    <row r="8">
      <c r="A8" s="5" t="inlineStr">
        <is>
          <t>Muse Spark 1.2 Contributor</t>
        </is>
      </c>
      <c r="B8" s="5" t="inlineStr">
        <is>
          <t>힌트·변형 텍스트 생성</t>
        </is>
      </c>
      <c r="C8" s="8" t="n">
        <v>0.1</v>
      </c>
      <c r="D8" s="8" t="n">
        <v>0.2</v>
      </c>
      <c r="E8" s="5" t="inlineStr">
        <is>
          <t>https://developer.meta.com/ai/models/muse-spark/</t>
        </is>
      </c>
    </row>
    <row r="9">
      <c r="A9" s="5" t="inlineStr">
        <is>
          <t>Muse Spark 1.2 Standard (참고)</t>
        </is>
      </c>
      <c r="B9" s="5" t="inlineStr">
        <is>
          <t>학습 거부 티어. 시뮬 기본 아님</t>
        </is>
      </c>
      <c r="C9" s="9" t="n">
        <v>1.25</v>
      </c>
      <c r="D9" s="9" t="n">
        <v>4.25</v>
      </c>
      <c r="E9" s="5" t="inlineStr">
        <is>
          <t>같은 페이지. 성능 동일, 데이터 비공유</t>
        </is>
      </c>
    </row>
    <row r="10">
      <c r="A10" s="5" t="inlineStr">
        <is>
          <t>SymPy</t>
        </is>
      </c>
      <c r="B10" s="5" t="inlineStr">
        <is>
          <t>수식 검산</t>
        </is>
      </c>
      <c r="C10" s="9" t="n">
        <v>0</v>
      </c>
      <c r="D10" s="9" t="n">
        <v>0</v>
      </c>
      <c r="E10" s="5" t="inlineStr">
        <is>
          <t>로컬 CPU</t>
        </is>
      </c>
    </row>
    <row r="12">
      <c r="A12" s="7" t="inlineStr">
        <is>
          <t>행동별 가정 토큰 (실측 전)</t>
        </is>
      </c>
    </row>
    <row r="13">
      <c r="A13" s="3" t="inlineStr">
        <is>
          <t>행동</t>
        </is>
      </c>
      <c r="B13" s="3" t="inlineStr">
        <is>
          <t>모델</t>
        </is>
      </c>
      <c r="C13" s="3" t="inlineStr">
        <is>
          <t>단위</t>
        </is>
      </c>
      <c r="D13" s="3" t="inlineStr">
        <is>
          <t>Input tok</t>
        </is>
      </c>
      <c r="E13" s="3" t="inlineStr">
        <is>
          <t>Output tok</t>
        </is>
      </c>
      <c r="F13" s="3" t="inlineStr">
        <is>
          <t>비고</t>
        </is>
      </c>
    </row>
    <row r="14">
      <c r="A14" s="5" t="inlineStr">
        <is>
          <t>PDF 1쪽 분할</t>
        </is>
      </c>
      <c r="B14" s="5" t="inlineStr">
        <is>
          <t>Gemini</t>
        </is>
      </c>
      <c r="C14" s="5" t="inlineStr">
        <is>
          <t>장</t>
        </is>
      </c>
      <c r="D14" s="10" t="n">
        <v>258</v>
      </c>
      <c r="E14" s="10" t="n">
        <v>400</v>
      </c>
      <c r="F14" s="5" t="inlineStr">
        <is>
          <t>페이지≈이미지 토큰. 공식 가이드 약 258tok/쪽</t>
        </is>
      </c>
    </row>
    <row r="15">
      <c r="A15" s="5" t="inlineStr">
        <is>
          <t>손풀이 OCR+CAT</t>
        </is>
      </c>
      <c r="B15" s="5" t="inlineStr">
        <is>
          <t>Gemini</t>
        </is>
      </c>
      <c r="C15" s="5" t="inlineStr">
        <is>
          <t>문항</t>
        </is>
      </c>
      <c r="D15" s="10" t="n">
        <v>4000</v>
      </c>
      <c r="E15" s="10" t="n">
        <v>1000</v>
      </c>
      <c r="F15" s="5" t="inlineStr">
        <is>
          <t>이미지+지문. ADR-019 가정</t>
        </is>
      </c>
    </row>
    <row r="16">
      <c r="A16" s="5" t="inlineStr">
        <is>
          <t>힌트·개념 3줄</t>
        </is>
      </c>
      <c r="B16" s="5" t="inlineStr">
        <is>
          <t>Spark Contributor</t>
        </is>
      </c>
      <c r="C16" s="5" t="inlineStr">
        <is>
          <t>문항</t>
        </is>
      </c>
      <c r="D16" s="10" t="n">
        <v>1500</v>
      </c>
      <c r="E16" s="10" t="n">
        <v>400</v>
      </c>
      <c r="F16" s="5" t="inlineStr">
        <is>
          <t>손글씨 원문 넣지 않음</t>
        </is>
      </c>
    </row>
    <row r="17">
      <c r="A17" s="5" t="inlineStr">
        <is>
          <t>변형 1회 생성</t>
        </is>
      </c>
      <c r="B17" s="5" t="inlineStr">
        <is>
          <t>Spark Contributor</t>
        </is>
      </c>
      <c r="C17" s="5" t="inlineStr">
        <is>
          <t>회</t>
        </is>
      </c>
      <c r="D17" s="10" t="n">
        <v>2000</v>
      </c>
      <c r="E17" s="10" t="n">
        <v>800</v>
      </c>
      <c r="F17" s="5" t="inlineStr">
        <is>
          <t>숫자만 변경</t>
        </is>
      </c>
    </row>
    <row r="18">
      <c r="A18" s="5" t="inlineStr">
        <is>
          <t>변형 블라인드 검산</t>
        </is>
      </c>
      <c r="B18" s="5" t="inlineStr">
        <is>
          <t>Gemini</t>
        </is>
      </c>
      <c r="C18" s="5" t="inlineStr">
        <is>
          <t>회</t>
        </is>
      </c>
      <c r="D18" s="10" t="n">
        <v>1000</v>
      </c>
      <c r="E18" s="10" t="n">
        <v>200</v>
      </c>
      <c r="F18" s="5" t="inlineStr">
        <is>
          <t>SymPy 실패·애매할 때만. 기본 시뮬은 20%만 탐</t>
        </is>
      </c>
    </row>
    <row r="19">
      <c r="A19" s="5" t="inlineStr">
        <is>
          <t>SymPy 검산</t>
        </is>
      </c>
      <c r="B19" s="5" t="inlineStr">
        <is>
          <t>SymPy</t>
        </is>
      </c>
      <c r="C19" s="5" t="inlineStr">
        <is>
          <t>회</t>
        </is>
      </c>
      <c r="D19" s="10" t="n">
        <v>0</v>
      </c>
      <c r="E19" s="10" t="n">
        <v>0</v>
      </c>
      <c r="F19" s="5" t="inlineStr">
        <is>
          <t>0원</t>
        </is>
      </c>
    </row>
    <row r="21">
      <c r="A21" t="inlineStr">
        <is>
          <t>검산 Gemini 호출 비율</t>
        </is>
      </c>
      <c r="B21" s="11" t="n">
        <v>0.2</v>
      </c>
      <c r="C21" t="inlineStr">
        <is>
          <t>변형 중 몇 %에 Gemini 블라인드를 붙일지. 나머지는 SymPy만.</t>
        </is>
      </c>
    </row>
    <row r="23">
      <c r="A23" s="7" t="inlineStr">
        <is>
          <t>요금제 가격·한도</t>
        </is>
      </c>
    </row>
    <row r="24">
      <c r="A24" s="3" t="inlineStr">
        <is>
          <t>플랜</t>
        </is>
      </c>
      <c r="B24" s="3" t="inlineStr">
        <is>
          <t>월 가격 KRW</t>
        </is>
      </c>
      <c r="C24" s="3" t="inlineStr">
        <is>
          <t>월 학습 문항 한도</t>
        </is>
      </c>
      <c r="D24" s="3" t="inlineStr">
        <is>
          <t>문항당 변형 한도</t>
        </is>
      </c>
      <c r="E24" s="3" t="inlineStr">
        <is>
          <t>비고</t>
        </is>
      </c>
    </row>
    <row r="25">
      <c r="A25" s="5" t="inlineStr">
        <is>
          <t>Free</t>
        </is>
      </c>
      <c r="B25" s="12" t="n">
        <v>0</v>
      </c>
      <c r="C25" s="13" t="n">
        <v>300</v>
      </c>
      <c r="D25" s="13" t="n">
        <v>3</v>
      </c>
      <c r="E25" s="5" t="inlineStr">
        <is>
          <t>가입 후 하루 10 × 30일 상한. 비회원 3은 저장 없음</t>
        </is>
      </c>
    </row>
    <row r="26">
      <c r="A26" s="5" t="inlineStr">
        <is>
          <t>Pro 9900</t>
        </is>
      </c>
      <c r="B26" s="12" t="n">
        <v>9900</v>
      </c>
      <c r="C26" s="13" t="n">
        <v>200</v>
      </c>
      <c r="D26" s="13" t="n">
        <v>3</v>
      </c>
      <c r="E26" s="5" t="inlineStr">
        <is>
          <t>일반 자습. 모의 무한 출제 없음</t>
        </is>
      </c>
    </row>
    <row r="27">
      <c r="A27" s="5" t="inlineStr">
        <is>
          <t>Pro 29900</t>
        </is>
      </c>
      <c r="B27" s="12" t="n">
        <v>29900</v>
      </c>
      <c r="C27" s="13" t="n"/>
      <c r="D27" s="13" t="n"/>
      <c r="E27" s="5" t="inlineStr">
        <is>
          <t>응용·기출·모의 출제 무제한에 가깝게. 한도 없음=빈칸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48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02 행동 1회 원가 (01에서 계산)</t>
        </is>
      </c>
    </row>
    <row r="2">
      <c r="A2" s="2" t="inlineStr">
        <is>
          <t>원/1M = USD/1M × 환율. 행동원가 = in/1e6×in단가×환율 + out/1e6×out단가×환율</t>
        </is>
      </c>
    </row>
    <row r="4">
      <c r="A4" s="3" t="inlineStr">
        <is>
          <t>행동</t>
        </is>
      </c>
      <c r="B4" s="3" t="inlineStr">
        <is>
          <t>모델</t>
        </is>
      </c>
      <c r="C4" s="3" t="inlineStr">
        <is>
          <t>Input tok</t>
        </is>
      </c>
      <c r="D4" s="3" t="inlineStr">
        <is>
          <t>Output tok</t>
        </is>
      </c>
      <c r="E4" s="3" t="inlineStr">
        <is>
          <t>원가 KRW</t>
        </is>
      </c>
    </row>
    <row r="5">
      <c r="A5" s="14">
        <f>'01_입력값'!A14</f>
        <v/>
      </c>
      <c r="B5" s="14">
        <f>'01_입력값'!B14</f>
        <v/>
      </c>
      <c r="C5" s="15">
        <f>'01_입력값'!D14</f>
        <v/>
      </c>
      <c r="D5" s="15">
        <f>'01_입력값'!E14</f>
        <v/>
      </c>
      <c r="E5" s="16">
        <f>IF(B5="SymPy",0, IF(ISNUMBER(SEARCH("Gemini",B5)), C5/1000000*'01_입력값'!$B$7*'01_입력값'!$B$3 + D5/1000000*'01_입력값'!$C$7*'01_입력값'!$B$3, C5/1000000*'01_입력값'!$B$8*'01_입력값'!$B$3 + D5/1000000*'01_입력값'!$C$8*'01_입력값'!$B$3))</f>
        <v/>
      </c>
    </row>
    <row r="6">
      <c r="A6" s="14">
        <f>'01_입력값'!A15</f>
        <v/>
      </c>
      <c r="B6" s="14">
        <f>'01_입력값'!B15</f>
        <v/>
      </c>
      <c r="C6" s="15">
        <f>'01_입력값'!D15</f>
        <v/>
      </c>
      <c r="D6" s="15">
        <f>'01_입력값'!E15</f>
        <v/>
      </c>
      <c r="E6" s="16">
        <f>IF(B6="SymPy",0, IF(ISNUMBER(SEARCH("Gemini",B6)), C6/1000000*'01_입력값'!$B$7*'01_입력값'!$B$3 + D6/1000000*'01_입력값'!$C$7*'01_입력값'!$B$3, C6/1000000*'01_입력값'!$B$8*'01_입력값'!$B$3 + D6/1000000*'01_입력값'!$C$8*'01_입력값'!$B$3))</f>
        <v/>
      </c>
    </row>
    <row r="7">
      <c r="A7" s="14">
        <f>'01_입력값'!A16</f>
        <v/>
      </c>
      <c r="B7" s="14">
        <f>'01_입력값'!B16</f>
        <v/>
      </c>
      <c r="C7" s="15">
        <f>'01_입력값'!D16</f>
        <v/>
      </c>
      <c r="D7" s="15">
        <f>'01_입력값'!E16</f>
        <v/>
      </c>
      <c r="E7" s="16">
        <f>IF(B7="SymPy",0, IF(ISNUMBER(SEARCH("Gemini",B7)), C7/1000000*'01_입력값'!$B$7*'01_입력값'!$B$3 + D7/1000000*'01_입력값'!$C$7*'01_입력값'!$B$3, C7/1000000*'01_입력값'!$B$8*'01_입력값'!$B$3 + D7/1000000*'01_입력값'!$C$8*'01_입력값'!$B$3))</f>
        <v/>
      </c>
    </row>
    <row r="8">
      <c r="A8" s="14">
        <f>'01_입력값'!A17</f>
        <v/>
      </c>
      <c r="B8" s="14">
        <f>'01_입력값'!B17</f>
        <v/>
      </c>
      <c r="C8" s="15">
        <f>'01_입력값'!D17</f>
        <v/>
      </c>
      <c r="D8" s="15">
        <f>'01_입력값'!E17</f>
        <v/>
      </c>
      <c r="E8" s="16">
        <f>IF(B8="SymPy",0, IF(ISNUMBER(SEARCH("Gemini",B8)), C8/1000000*'01_입력값'!$B$7*'01_입력값'!$B$3 + D8/1000000*'01_입력값'!$C$7*'01_입력값'!$B$3, C8/1000000*'01_입력값'!$B$8*'01_입력값'!$B$3 + D8/1000000*'01_입력값'!$C$8*'01_입력값'!$B$3))</f>
        <v/>
      </c>
    </row>
    <row r="9">
      <c r="A9" s="14">
        <f>'01_입력값'!A18</f>
        <v/>
      </c>
      <c r="B9" s="14">
        <f>'01_입력값'!B18</f>
        <v/>
      </c>
      <c r="C9" s="15">
        <f>'01_입력값'!D18</f>
        <v/>
      </c>
      <c r="D9" s="15">
        <f>'01_입력값'!E18</f>
        <v/>
      </c>
      <c r="E9" s="16">
        <f>IF(B9="SymPy",0, IF(ISNUMBER(SEARCH("Gemini",B9)), C9/1000000*'01_입력값'!$B$7*'01_입력값'!$B$3 + D9/1000000*'01_입력값'!$C$7*'01_입력값'!$B$3, C9/1000000*'01_입력값'!$B$8*'01_입력값'!$B$3 + D9/1000000*'01_입력값'!$C$8*'01_입력값'!$B$3))</f>
        <v/>
      </c>
    </row>
    <row r="10">
      <c r="A10" s="14">
        <f>'01_입력값'!A19</f>
        <v/>
      </c>
      <c r="B10" s="14">
        <f>'01_입력값'!B19</f>
        <v/>
      </c>
      <c r="C10" s="15">
        <f>'01_입력값'!D19</f>
        <v/>
      </c>
      <c r="D10" s="15">
        <f>'01_입력값'!E19</f>
        <v/>
      </c>
      <c r="E10" s="16">
        <f>IF(B10="SymPy",0, IF(ISNUMBER(SEARCH("Gemini",B10)), C10/1000000*'01_입력값'!$B$7*'01_입력값'!$B$3 + D10/1000000*'01_입력값'!$C$7*'01_입력값'!$B$3, C10/1000000*'01_입력값'!$B$8*'01_입력값'!$B$3 + D10/1000000*'01_입력값'!$C$8*'01_입력값'!$B$3))</f>
        <v/>
      </c>
    </row>
    <row r="12">
      <c r="A12" s="7" t="inlineStr">
        <is>
          <t>묶음 단가 (시뮬에 쓰는 것)</t>
        </is>
      </c>
    </row>
    <row r="13">
      <c r="A13" s="3" t="inlineStr">
        <is>
          <t>묶음</t>
        </is>
      </c>
      <c r="B13" s="3" t="inlineStr">
        <is>
          <t>구성</t>
        </is>
      </c>
      <c r="C13" s="3" t="inlineStr">
        <is>
          <t>원가 KRW</t>
        </is>
      </c>
    </row>
    <row r="14">
      <c r="A14" s="14" t="inlineStr">
        <is>
          <t>손풀이 1회</t>
        </is>
      </c>
      <c r="B14" s="14" t="inlineStr">
        <is>
          <t>OCR+CAT (Gemini)</t>
        </is>
      </c>
      <c r="C14" s="16">
        <f>E6</f>
        <v/>
      </c>
    </row>
    <row r="15">
      <c r="A15" s="14" t="inlineStr">
        <is>
          <t>변형 1회 (싸게)</t>
        </is>
      </c>
      <c r="B15" s="14" t="inlineStr">
        <is>
          <t>Spark 생성 + SymPy. Gemini 검산 없음</t>
        </is>
      </c>
      <c r="C15" s="16">
        <f>E8+E10</f>
        <v/>
      </c>
    </row>
    <row r="16">
      <c r="A16" s="14" t="inlineStr">
        <is>
          <t>변형 1회 (검산 포함 기대값)</t>
        </is>
      </c>
      <c r="B16" s="14" t="inlineStr">
        <is>
          <t>생성 + SymPy + Gemini×검산비율</t>
        </is>
      </c>
      <c r="C16" s="16">
        <f>E8+E10+E9*'01_입력값'!B21</f>
        <v/>
      </c>
    </row>
    <row r="17">
      <c r="A17" s="14" t="inlineStr">
        <is>
          <t>손풀이+변형1 (기대값)</t>
        </is>
      </c>
      <c r="B17" s="14" t="inlineStr">
        <is>
          <t>자습 한 칸의 대표 원가</t>
        </is>
      </c>
      <c r="C17" s="16">
        <f>C14+C16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03 월간 시나리오 × 마진 (매출 − AI 원가)</t>
        </is>
      </c>
    </row>
    <row r="2">
      <c r="A2" s="2" t="inlineStr">
        <is>
          <t>노란 칸 = 월 문항 수·PDF 쪽·변형 횟수. 원가는 02 묶음 단가 참조.</t>
        </is>
      </c>
    </row>
    <row r="4">
      <c r="A4" s="3" t="inlineStr">
        <is>
          <t>시나리오</t>
        </is>
      </c>
      <c r="B4" s="3" t="inlineStr">
        <is>
          <t>플랜</t>
        </is>
      </c>
      <c r="C4" s="3" t="inlineStr">
        <is>
          <t>월 매출</t>
        </is>
      </c>
      <c r="D4" s="3" t="inlineStr">
        <is>
          <t>손풀이 횟수</t>
        </is>
      </c>
      <c r="E4" s="3" t="inlineStr">
        <is>
          <t>변형 횟수</t>
        </is>
      </c>
      <c r="F4" s="3" t="inlineStr">
        <is>
          <t>PDF 쪽 수</t>
        </is>
      </c>
      <c r="G4" s="3" t="inlineStr">
        <is>
          <t>월 AI 원가</t>
        </is>
      </c>
      <c r="H4" s="3" t="inlineStr">
        <is>
          <t>마진 원</t>
        </is>
      </c>
      <c r="I4" s="3" t="inlineStr">
        <is>
          <t>마진율</t>
        </is>
      </c>
    </row>
    <row r="5">
      <c r="A5" s="5" t="inlineStr">
        <is>
          <t>Free 일반</t>
        </is>
      </c>
      <c r="B5" s="14" t="inlineStr">
        <is>
          <t>Free</t>
        </is>
      </c>
      <c r="C5" s="17">
        <f>'01_입력값'!B25</f>
        <v/>
      </c>
      <c r="D5" s="10" t="n">
        <v>40</v>
      </c>
      <c r="E5" s="10" t="n">
        <v>10</v>
      </c>
      <c r="F5" s="10" t="n">
        <v>10</v>
      </c>
      <c r="G5" s="18">
        <f>D5*'02_행동단가'!C14+E5*'02_행동단가'!C16+F5*'02_행동단가'!E5</f>
        <v/>
      </c>
      <c r="H5" s="18">
        <f>C5-G5</f>
        <v/>
      </c>
      <c r="I5" s="19">
        <f>IF(C5=0,"n/a",H5/C5)</f>
        <v/>
      </c>
    </row>
    <row r="6">
      <c r="A6" s="5" t="inlineStr">
        <is>
          <t>Free 상한 (하루10×30)</t>
        </is>
      </c>
      <c r="B6" s="14" t="inlineStr">
        <is>
          <t>Free</t>
        </is>
      </c>
      <c r="C6" s="17">
        <f>'01_입력값'!B25</f>
        <v/>
      </c>
      <c r="D6" s="10" t="n">
        <v>300</v>
      </c>
      <c r="E6" s="10" t="n">
        <v>50</v>
      </c>
      <c r="F6" s="10" t="n">
        <v>30</v>
      </c>
      <c r="G6" s="18">
        <f>D6*'02_행동단가'!C14+E6*'02_행동단가'!C16+F6*'02_행동단가'!E5</f>
        <v/>
      </c>
      <c r="H6" s="18">
        <f>C6-G6</f>
        <v/>
      </c>
      <c r="I6" s="19">
        <f>IF(C6=0,"n/a",H6/C6)</f>
        <v/>
      </c>
    </row>
    <row r="7">
      <c r="A7" s="5" t="inlineStr">
        <is>
          <t>9900 Normal</t>
        </is>
      </c>
      <c r="B7" s="14" t="inlineStr">
        <is>
          <t>Pro 9900</t>
        </is>
      </c>
      <c r="C7" s="17">
        <f>'01_입력값'!B26</f>
        <v/>
      </c>
      <c r="D7" s="10" t="n">
        <v>80</v>
      </c>
      <c r="E7" s="10" t="n">
        <v>40</v>
      </c>
      <c r="F7" s="10" t="n">
        <v>20</v>
      </c>
      <c r="G7" s="18">
        <f>D7*'02_행동단가'!C14+E7*'02_행동단가'!C16+F7*'02_행동단가'!E5</f>
        <v/>
      </c>
      <c r="H7" s="18">
        <f>C7-G7</f>
        <v/>
      </c>
      <c r="I7" s="19">
        <f>IF(C7=0,"n/a",H7/C7)</f>
        <v/>
      </c>
    </row>
    <row r="8">
      <c r="A8" s="5" t="inlineStr">
        <is>
          <t>9900 한도200</t>
        </is>
      </c>
      <c r="B8" s="14" t="inlineStr">
        <is>
          <t>Pro 9900</t>
        </is>
      </c>
      <c r="C8" s="17">
        <f>'01_입력값'!B26</f>
        <v/>
      </c>
      <c r="D8" s="10" t="n">
        <v>200</v>
      </c>
      <c r="E8" s="10" t="n">
        <v>200</v>
      </c>
      <c r="F8" s="10" t="n">
        <v>40</v>
      </c>
      <c r="G8" s="18">
        <f>D8*'02_행동단가'!C14+E8*'02_행동단가'!C16+F8*'02_행동단가'!E5</f>
        <v/>
      </c>
      <c r="H8" s="18">
        <f>C8-G8</f>
        <v/>
      </c>
      <c r="I8" s="19">
        <f>IF(C8=0,"n/a",H8/C8)</f>
        <v/>
      </c>
    </row>
    <row r="9">
      <c r="A9" s="5" t="inlineStr">
        <is>
          <t>29900 Heavy</t>
        </is>
      </c>
      <c r="B9" s="14" t="inlineStr">
        <is>
          <t>Pro 29900</t>
        </is>
      </c>
      <c r="C9" s="17">
        <f>'01_입력값'!B27</f>
        <v/>
      </c>
      <c r="D9" s="10" t="n">
        <v>200</v>
      </c>
      <c r="E9" s="10" t="n">
        <v>400</v>
      </c>
      <c r="F9" s="10" t="n">
        <v>40</v>
      </c>
      <c r="G9" s="18">
        <f>D9*'02_행동단가'!C14+E9*'02_행동단가'!C16+F9*'02_행동단가'!E5</f>
        <v/>
      </c>
      <c r="H9" s="18">
        <f>C9-G9</f>
        <v/>
      </c>
      <c r="I9" s="19">
        <f>IF(C9=0,"n/a",H9/C9)</f>
        <v/>
      </c>
    </row>
    <row r="10">
      <c r="A10" s="5" t="inlineStr">
        <is>
          <t>29900 Stress 출제</t>
        </is>
      </c>
      <c r="B10" s="14" t="inlineStr">
        <is>
          <t>Pro 29900</t>
        </is>
      </c>
      <c r="C10" s="17">
        <f>'01_입력값'!B27</f>
        <v/>
      </c>
      <c r="D10" s="10" t="n">
        <v>400</v>
      </c>
      <c r="E10" s="10" t="n">
        <v>800</v>
      </c>
      <c r="F10" s="10" t="n">
        <v>80</v>
      </c>
      <c r="G10" s="18">
        <f>D10*'02_행동단가'!C14+E10*'02_행동단가'!C16+F10*'02_행동단가'!E5</f>
        <v/>
      </c>
      <c r="H10" s="18">
        <f>C10-G10</f>
        <v/>
      </c>
      <c r="I10" s="19">
        <f>IF(C10=0,"n/a",H10/C10)</f>
        <v/>
      </c>
    </row>
    <row r="12">
      <c r="A12" s="2" t="inlineStr">
        <is>
          <t>읽는 법: 9900 한도200이 물장사인지 보려면 8행. 29900은 변형을 많이 넣어도 매출이 3배라 마진율이 더 버팀. Free 매출 0이라 마진율 n/a, 원가 절대액만 보면 됨.</t>
        </is>
      </c>
    </row>
  </sheetData>
  <mergeCells count="1"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6" max="6"/>
  </cols>
  <sheetData>
    <row r="1">
      <c r="A1" s="1" t="inlineStr">
        <is>
          <t>희웅 님께</t>
        </is>
      </c>
    </row>
    <row r="3" ht="160" customHeight="1">
      <c r="A3" s="20" t="inlineStr">
        <is>
          <t>1) Contributor는 성능 다운그레이드가 아닙니다. 같은 Spark 1.2이고 Meta가 프롬프트로 학습할 수 있어서 가격만 $0.10/$0.20입니다. 멀티모달(이미지·PDF)도 됩니다. 다만 학생 손풀이·수능 PDF는 Contributor에 넣지 말고 Gemini로만 OCR 합니다.
2) 어제 파이프라인: 출제=싼 텍스트 모델(지금은 Spark Contributor), 계산=파이썬 SymPy 0원, Gemini는 손풀이/애매한 검산만. 그래서 변형을 많이 내도 원가가 거의 안 뜹니다.
3) 9900은 월 200문항 전후 캡이 있는 일반 자습. 29900이 응용·모의 출제 무제한을 파는 자리입니다. 무제한 출제를 9900에 넣으면 안 됩니다.
4) OpenCode 무료 구간은 03시트 원가를 0으로 보지 마세요. 정가 Contributor로 의사결정 하고, 무료는 보너스입니다.
5) RPM 100(Contributor)은 분당 요청 한도입니다. MVP 동시접속에는 충분합니다.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2026-09-02T02:19:54Z</dcterms:created>
  <dcterms:modified xmlns:dcterms="http://purl.org/dc/terms/" xmlns:xsi="http://www.w3.org/2001/XMLSchema-instance" xsi:type="dcterms:W3CDTF">2026-09-02T02:19:54Z</dcterms:modified>
</cp:coreProperties>
</file>